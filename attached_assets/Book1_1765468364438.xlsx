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ra\Downloads\"/>
    </mc:Choice>
  </mc:AlternateContent>
  <xr:revisionPtr revIDLastSave="0" documentId="8_{229B4F9A-B285-486C-AE1F-CFC026D019BE}" xr6:coauthVersionLast="47" xr6:coauthVersionMax="47" xr10:uidLastSave="{00000000-0000-0000-0000-000000000000}"/>
  <bookViews>
    <workbookView xWindow="-120" yWindow="-120" windowWidth="23280" windowHeight="14880" xr2:uid="{04AB84B3-C489-4340-AC7E-6DFD9AA62DAC}"/>
  </bookViews>
  <sheets>
    <sheet name="Spreadsheet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E31" i="1" s="1"/>
  <c r="D21" i="1"/>
  <c r="D31" i="1" s="1"/>
  <c r="C21" i="1"/>
  <c r="C31" i="1" s="1"/>
  <c r="E18" i="1"/>
  <c r="D18" i="1"/>
  <c r="C18" i="1"/>
</calcChain>
</file>

<file path=xl/sharedStrings.xml><?xml version="1.0" encoding="utf-8"?>
<sst xmlns="http://schemas.openxmlformats.org/spreadsheetml/2006/main" count="38" uniqueCount="23">
  <si>
    <t>Price Ranges</t>
  </si>
  <si>
    <t>$/RSF</t>
  </si>
  <si>
    <t>Can be adjusted depending on the client, e.g.</t>
  </si>
  <si>
    <t>Low</t>
  </si>
  <si>
    <t>Mature Startup - 250-400</t>
  </si>
  <si>
    <t>Med</t>
  </si>
  <si>
    <t>Mature Financial - 300-600</t>
  </si>
  <si>
    <t>High</t>
  </si>
  <si>
    <t>Only Med is used in calcs</t>
  </si>
  <si>
    <t>Typical Project Budget</t>
  </si>
  <si>
    <t>Average</t>
  </si>
  <si>
    <t>% are basis for all final calculations on cover sheet</t>
  </si>
  <si>
    <t>Medium</t>
  </si>
  <si>
    <t>Design Fees</t>
  </si>
  <si>
    <t>Construction Costs</t>
  </si>
  <si>
    <t>FF&amp;E/Appliances</t>
  </si>
  <si>
    <t>Signage</t>
  </si>
  <si>
    <t>Technology (AV,IT &amp; SEC)</t>
  </si>
  <si>
    <t>Other</t>
  </si>
  <si>
    <t>Total</t>
  </si>
  <si>
    <t>IT</t>
  </si>
  <si>
    <t>AV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</si>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</sst>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left" indent="1"/>
    </xf>
    <xf numFmtId="9" fontId="0" fillId="0" borderId="0" xfId="0" applyNumberFormat="1"/>
    <xf numFmtId="0" fontId="2" fillId="0" borderId="0" xfId="0" applyFont="1" applyAlignment="1">
      <alignment horizontal="center"/>
    </xf>
    <xf numFmtId="0" fontId="3" fillId="2" borderId="0" xfId="0" applyFont="1" applyFill="1"/>
    <xf numFmtId="164" fontId="0" fillId="0" borderId="0" xfId="0" applyNumberFormat="1" applyAlignment="1">
      <alignment horizontal="center"/>
    </xf>
    <xf numFmtId="164" fontId="0" fillId="0" borderId="0" xfId="1" applyNumberFormat="1" applyFont="1"/>
    <xf numFmtId="0" fontId="2" fillId="0" borderId="0" xfId="0" applyFont="1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Typical</a:t>
            </a:r>
            <a:r>
              <a:rPr lang="en-US" baseline="0"/>
              <a:t> Project Budget Alocation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Spreadsheet!$C$10</c:f>
              <c:strCache>
                <c:ptCount val="1"/>
                <c:pt idx="0">
                  <c:v>Average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254-4CD7-A6DB-D3BAA3E92B2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254-4CD7-A6DB-D3BAA3E92B2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254-4CD7-A6DB-D3BAA3E92B29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254-4CD7-A6DB-D3BAA3E92B29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254-4CD7-A6DB-D3BAA3E92B29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254-4CD7-A6DB-D3BAA3E92B29}"/>
              </c:ext>
            </c:extLst>
          </c:dPt>
          <c:dLbls>
            <c:dLbl>
              <c:idx val="2"/>
              <c:layout>
                <c:manualLayout>
                  <c:x val="0.13426754802608343"/>
                  <c:y val="0.1052097276897725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54-4CD7-A6DB-D3BAA3E92B29}"/>
                </c:ext>
              </c:extLst>
            </c:dLbl>
            <c:dLbl>
              <c:idx val="3"/>
              <c:layout>
                <c:manualLayout>
                  <c:x val="6.3163081734723098E-2"/>
                  <c:y val="0.119802431023462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54-4CD7-A6DB-D3BAA3E92B29}"/>
                </c:ext>
              </c:extLst>
            </c:dLbl>
            <c:dLbl>
              <c:idx val="4"/>
              <c:layout>
                <c:manualLayout>
                  <c:x val="4.5359623570208049E-2"/>
                  <c:y val="0.1106798001745820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54-4CD7-A6DB-D3BAA3E92B2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Spreadsheet!$B$12:$B$17</c:f>
              <c:strCache>
                <c:ptCount val="6"/>
                <c:pt idx="0">
                  <c:v>Design Fees</c:v>
                </c:pt>
                <c:pt idx="1">
                  <c:v>Construction Costs</c:v>
                </c:pt>
                <c:pt idx="2">
                  <c:v>FF&amp;E/Appliances</c:v>
                </c:pt>
                <c:pt idx="3">
                  <c:v>Signage</c:v>
                </c:pt>
                <c:pt idx="4">
                  <c:v>Technology (AV,IT &amp; SEC)</c:v>
                </c:pt>
                <c:pt idx="5">
                  <c:v>Other</c:v>
                </c:pt>
              </c:strCache>
            </c:strRef>
          </c:cat>
          <c:val>
            <c:numRef>
              <c:f>Spreadsheet!$C$12:$C$17</c:f>
              <c:numCache>
                <c:formatCode>0.0%</c:formatCode>
                <c:ptCount val="6"/>
                <c:pt idx="0">
                  <c:v>7.0000000000000007E-2</c:v>
                </c:pt>
                <c:pt idx="1">
                  <c:v>0.73</c:v>
                </c:pt>
                <c:pt idx="2">
                  <c:v>0.12</c:v>
                </c:pt>
                <c:pt idx="3">
                  <c:v>0.02</c:v>
                </c:pt>
                <c:pt idx="4">
                  <c:v>0.05</c:v>
                </c:pt>
                <c:pt idx="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54-4CD7-A6DB-D3BAA3E92B2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5254-4CD7-A6DB-D3BAA3E92B2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Spreadsheet!$B$12:$B$17</c:f>
              <c:strCache>
                <c:ptCount val="6"/>
                <c:pt idx="0">
                  <c:v>Design Fees</c:v>
                </c:pt>
                <c:pt idx="1">
                  <c:v>Construction Costs</c:v>
                </c:pt>
                <c:pt idx="2">
                  <c:v>FF&amp;E/Appliances</c:v>
                </c:pt>
                <c:pt idx="3">
                  <c:v>Signage</c:v>
                </c:pt>
                <c:pt idx="4">
                  <c:v>Technology (AV,IT &amp; SEC)</c:v>
                </c:pt>
                <c:pt idx="5">
                  <c:v>Other</c:v>
                </c:pt>
              </c:strCache>
            </c:strRef>
          </c:cat>
          <c:val>
            <c:numRef>
              <c:f>'[2]L_M_H Scenarios_11.26.25'!$B$10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254-4CD7-A6DB-D3BAA3E92B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279128</xdr:colOff>
      <xdr:row>1</xdr:row>
      <xdr:rowOff>7741</xdr:rowOff>
    </xdr:from>
    <xdr:to>
      <xdr:col>21</xdr:col>
      <xdr:colOff>32599</xdr:colOff>
      <xdr:row>29</xdr:row>
      <xdr:rowOff>159599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299954-1F8B-44DF-8368-929B0DB0F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lra\Downloads\Spreadsheet.csv" TargetMode="External"/><Relationship Id="rId1" Type="http://schemas.openxmlformats.org/officeDocument/2006/relationships/externalLinkPath" Target="Spreadsheet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kePutnamConnectedW\AppData\Local\Microsoft\Olk\Attachments\ooa-f4a908a4-d424-47ce-827e-00b4bbb3a463\5c2df24e7b318b05724318a6fd508e1df6e44c4c70f202d232a74d9f840db9bb\Webull_Budget%20Comparisons.xlsx" TargetMode="External"/><Relationship Id="rId1" Type="http://schemas.openxmlformats.org/officeDocument/2006/relationships/externalLinkPath" Target="/Users/MikePutnamConnectedW/AppData/Local/Microsoft/Olk/Attachments/ooa-f4a908a4-d424-47ce-827e-00b4bbb3a463/5c2df24e7b318b05724318a6fd508e1df6e44c4c70f202d232a74d9f840db9bb/Webull_Budget%20Comparis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Lookups"/>
      <sheetName val="Spreadsheet"/>
      <sheetName val="Math"/>
    </sheetNames>
    <sheetDataSet>
      <sheetData sheetId="0"/>
      <sheetData sheetId="1"/>
      <sheetData sheetId="2">
        <row r="10">
          <cell r="C10" t="str">
            <v>Average</v>
          </cell>
        </row>
        <row r="12">
          <cell r="B12" t="str">
            <v>Design Fees</v>
          </cell>
          <cell r="C12">
            <v>7.0000000000000007E-2</v>
          </cell>
        </row>
        <row r="13">
          <cell r="B13" t="str">
            <v>Construction Costs</v>
          </cell>
          <cell r="C13">
            <v>0.73</v>
          </cell>
        </row>
        <row r="14">
          <cell r="B14" t="str">
            <v>FF&amp;E/Appliances</v>
          </cell>
          <cell r="C14">
            <v>0.12</v>
          </cell>
        </row>
        <row r="15">
          <cell r="B15" t="str">
            <v>Signage</v>
          </cell>
          <cell r="C15">
            <v>0.02</v>
          </cell>
        </row>
        <row r="16">
          <cell r="B16" t="str">
            <v>Technology (AV,IT &amp; SEC)</v>
          </cell>
          <cell r="C16">
            <v>0.05</v>
          </cell>
        </row>
        <row r="17">
          <cell r="B17" t="str">
            <v>Other</v>
          </cell>
          <cell r="C17">
            <v>0.01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REFERENCE888777888"/>
      <sheetName val="L_M_H Scenarios_11.26.25"/>
      <sheetName val="V1"/>
      <sheetName val="V2"/>
      <sheetName val="V3"/>
    </sheetNames>
    <sheetDataSet>
      <sheetData sheetId="0"/>
      <sheetData sheetId="1">
        <row r="10">
          <cell r="B10" t="str">
            <v>Architectural &amp; Engineering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04D9-35D3-40BC-BCD5-A60A5CA2D853}">
  <sheetPr>
    <tabColor theme="8" tint="0.79998168889431442"/>
  </sheetPr>
  <dimension ref="B1:J31"/>
  <sheetViews>
    <sheetView tabSelected="1" zoomScale="72" zoomScaleNormal="55" workbookViewId="0">
      <selection activeCell="E14" sqref="E14"/>
    </sheetView>
  </sheetViews>
  <sheetFormatPr defaultRowHeight="15" x14ac:dyDescent="0.25"/>
  <cols>
    <col min="2" max="2" width="31" customWidth="1"/>
    <col min="3" max="5" width="12" customWidth="1"/>
  </cols>
  <sheetData>
    <row r="1" spans="2:10" ht="50.45" customHeight="1" x14ac:dyDescent="0.25"/>
    <row r="2" spans="2:10" x14ac:dyDescent="0.25">
      <c r="B2" s="1"/>
    </row>
    <row r="3" spans="2:10" x14ac:dyDescent="0.25">
      <c r="B3" s="1" t="s">
        <v>0</v>
      </c>
      <c r="C3" s="2" t="s">
        <v>1</v>
      </c>
      <c r="E3" s="3" t="s">
        <v>2</v>
      </c>
      <c r="F3" s="3"/>
      <c r="G3" s="3"/>
      <c r="H3" s="3"/>
    </row>
    <row r="4" spans="2:10" x14ac:dyDescent="0.25">
      <c r="B4" s="4" t="s">
        <v>3</v>
      </c>
      <c r="C4">
        <v>263</v>
      </c>
      <c r="E4" s="3" t="s">
        <v>4</v>
      </c>
      <c r="F4" s="3"/>
      <c r="G4" s="3"/>
      <c r="H4" s="3"/>
    </row>
    <row r="5" spans="2:10" x14ac:dyDescent="0.25">
      <c r="B5" s="4" t="s">
        <v>5</v>
      </c>
      <c r="C5" s="3">
        <v>350</v>
      </c>
      <c r="E5" s="3" t="s">
        <v>6</v>
      </c>
      <c r="F5" s="3"/>
      <c r="G5" s="3"/>
      <c r="H5" s="3"/>
    </row>
    <row r="6" spans="2:10" x14ac:dyDescent="0.25">
      <c r="B6" s="4" t="s">
        <v>7</v>
      </c>
      <c r="C6">
        <v>450</v>
      </c>
      <c r="E6" s="3" t="s">
        <v>8</v>
      </c>
      <c r="F6" s="3"/>
      <c r="G6" s="3"/>
      <c r="H6" s="3"/>
    </row>
    <row r="7" spans="2:10" x14ac:dyDescent="0.25">
      <c r="B7" s="4"/>
      <c r="C7" s="5"/>
    </row>
    <row r="10" spans="2:10" x14ac:dyDescent="0.25">
      <c r="B10" s="1" t="s">
        <v>9</v>
      </c>
      <c r="C10" s="6" t="s">
        <v>10</v>
      </c>
      <c r="D10" s="6"/>
      <c r="E10" s="6"/>
      <c r="F10" s="7" t="s">
        <v>11</v>
      </c>
      <c r="G10" s="3"/>
      <c r="H10" s="3"/>
      <c r="I10" s="3"/>
      <c r="J10" s="3"/>
    </row>
    <row r="11" spans="2:10" x14ac:dyDescent="0.25">
      <c r="C11" s="2" t="s">
        <v>3</v>
      </c>
      <c r="D11" s="2" t="s">
        <v>12</v>
      </c>
      <c r="E11" s="2" t="s">
        <v>7</v>
      </c>
    </row>
    <row r="12" spans="2:10" x14ac:dyDescent="0.25">
      <c r="B12" s="4" t="s">
        <v>13</v>
      </c>
      <c r="C12" s="8">
        <v>7.0000000000000007E-2</v>
      </c>
      <c r="D12" s="9">
        <v>0.06</v>
      </c>
      <c r="E12" s="9">
        <v>0.05</v>
      </c>
    </row>
    <row r="13" spans="2:10" x14ac:dyDescent="0.25">
      <c r="B13" s="4" t="s">
        <v>14</v>
      </c>
      <c r="C13" s="8">
        <v>0.73</v>
      </c>
      <c r="D13" s="9">
        <v>0.745</v>
      </c>
      <c r="E13" s="9">
        <v>0.76</v>
      </c>
    </row>
    <row r="14" spans="2:10" x14ac:dyDescent="0.25">
      <c r="B14" s="4" t="s">
        <v>15</v>
      </c>
      <c r="C14" s="8">
        <v>0.12</v>
      </c>
      <c r="D14" s="9">
        <v>0.115</v>
      </c>
      <c r="E14" s="9">
        <v>0.11</v>
      </c>
    </row>
    <row r="15" spans="2:10" x14ac:dyDescent="0.25">
      <c r="B15" s="4" t="s">
        <v>16</v>
      </c>
      <c r="C15" s="8">
        <v>0.02</v>
      </c>
      <c r="D15" s="9">
        <v>1.4999999999999999E-2</v>
      </c>
      <c r="E15" s="9">
        <v>0.01</v>
      </c>
    </row>
    <row r="16" spans="2:10" x14ac:dyDescent="0.25">
      <c r="B16" s="4" t="s">
        <v>17</v>
      </c>
      <c r="C16" s="8">
        <v>0.05</v>
      </c>
      <c r="D16" s="9">
        <v>5.5E-2</v>
      </c>
      <c r="E16" s="9">
        <v>0.06</v>
      </c>
    </row>
    <row r="17" spans="2:9" x14ac:dyDescent="0.25">
      <c r="B17" s="4" t="s">
        <v>18</v>
      </c>
      <c r="C17" s="8">
        <v>0.01</v>
      </c>
      <c r="D17" s="9">
        <v>0.01</v>
      </c>
      <c r="E17" s="9">
        <v>0.01</v>
      </c>
    </row>
    <row r="18" spans="2:9" x14ac:dyDescent="0.25">
      <c r="B18" s="10" t="s">
        <v>19</v>
      </c>
      <c r="C18" s="8">
        <f>SUM(C12:C17)</f>
        <v>1</v>
      </c>
      <c r="D18" s="8">
        <f>SUM(D12:D17)</f>
        <v>1</v>
      </c>
      <c r="E18" s="8">
        <f>SUM(E12:E17)</f>
        <v>1</v>
      </c>
    </row>
    <row r="20" spans="2:9" x14ac:dyDescent="0.25">
      <c r="B20" s="1" t="s">
        <v>1</v>
      </c>
      <c r="C20" s="2" t="s">
        <v>3</v>
      </c>
      <c r="D20" s="2" t="s">
        <v>12</v>
      </c>
      <c r="E20" s="2" t="s">
        <v>7</v>
      </c>
      <c r="G20" s="2" t="s">
        <v>3</v>
      </c>
      <c r="H20" s="2" t="s">
        <v>12</v>
      </c>
      <c r="I20" s="2" t="s">
        <v>7</v>
      </c>
    </row>
    <row r="21" spans="2:9" x14ac:dyDescent="0.25">
      <c r="B21" s="4" t="s">
        <v>13</v>
      </c>
      <c r="C21">
        <f>C12*$C$4</f>
        <v>18.41</v>
      </c>
      <c r="D21">
        <f>D12*$C$5</f>
        <v>21</v>
      </c>
      <c r="E21">
        <f>E12*$C$6</f>
        <v>22.5</v>
      </c>
      <c r="G21">
        <v>18</v>
      </c>
      <c r="H21">
        <v>18.5</v>
      </c>
      <c r="I21">
        <v>19</v>
      </c>
    </row>
    <row r="22" spans="2:9" x14ac:dyDescent="0.25">
      <c r="B22" s="4" t="s">
        <v>14</v>
      </c>
      <c r="C22">
        <f t="shared" ref="C22:C24" si="0">C13*$C$4</f>
        <v>191.99</v>
      </c>
      <c r="D22">
        <f t="shared" ref="D22:D24" si="1">D13*$C$5</f>
        <v>260.75</v>
      </c>
      <c r="E22">
        <f t="shared" ref="E22:E24" si="2">E13*$C$6</f>
        <v>342</v>
      </c>
      <c r="G22">
        <v>200</v>
      </c>
      <c r="H22">
        <v>275</v>
      </c>
      <c r="I22">
        <v>350</v>
      </c>
    </row>
    <row r="23" spans="2:9" x14ac:dyDescent="0.25">
      <c r="B23" s="4" t="s">
        <v>15</v>
      </c>
      <c r="C23">
        <f t="shared" si="0"/>
        <v>31.56</v>
      </c>
      <c r="D23">
        <f t="shared" si="1"/>
        <v>40.25</v>
      </c>
      <c r="E23">
        <f t="shared" si="2"/>
        <v>49.5</v>
      </c>
      <c r="G23">
        <v>30</v>
      </c>
      <c r="H23">
        <v>40</v>
      </c>
      <c r="I23">
        <v>50</v>
      </c>
    </row>
    <row r="24" spans="2:9" x14ac:dyDescent="0.25">
      <c r="B24" s="4" t="s">
        <v>16</v>
      </c>
      <c r="C24">
        <f t="shared" si="0"/>
        <v>5.26</v>
      </c>
      <c r="D24">
        <f t="shared" si="1"/>
        <v>5.25</v>
      </c>
      <c r="E24">
        <f t="shared" si="2"/>
        <v>4.5</v>
      </c>
      <c r="G24">
        <v>2.5</v>
      </c>
      <c r="H24">
        <v>3.25</v>
      </c>
      <c r="I24">
        <v>4</v>
      </c>
    </row>
    <row r="25" spans="2:9" x14ac:dyDescent="0.25">
      <c r="B25" s="4" t="s">
        <v>20</v>
      </c>
      <c r="C25">
        <f>C16*$C$4*0.2</f>
        <v>2.6300000000000003</v>
      </c>
      <c r="D25">
        <f>D16*$C$5*0.2</f>
        <v>3.85</v>
      </c>
      <c r="E25">
        <f>E16*$C$6*0.2</f>
        <v>5.4</v>
      </c>
      <c r="G25">
        <v>6.5</v>
      </c>
      <c r="H25">
        <v>10</v>
      </c>
      <c r="I25">
        <v>15</v>
      </c>
    </row>
    <row r="26" spans="2:9" x14ac:dyDescent="0.25">
      <c r="B26" s="4" t="s">
        <v>21</v>
      </c>
      <c r="C26">
        <f>C16*$C$4*0.6</f>
        <v>7.89</v>
      </c>
      <c r="D26">
        <f>D16*$C$5*0.6</f>
        <v>11.549999999999999</v>
      </c>
      <c r="E26">
        <f>E16*$C$6*0.6</f>
        <v>16.2</v>
      </c>
      <c r="G26">
        <v>4</v>
      </c>
      <c r="H26">
        <v>5</v>
      </c>
      <c r="I26">
        <v>5</v>
      </c>
    </row>
    <row r="27" spans="2:9" x14ac:dyDescent="0.25">
      <c r="B27" s="4" t="s">
        <v>22</v>
      </c>
      <c r="C27">
        <f>C16*$C$4*0.2</f>
        <v>2.6300000000000003</v>
      </c>
      <c r="D27">
        <f>D16*$C$5*0.2</f>
        <v>3.85</v>
      </c>
      <c r="E27">
        <f>E16*$C$6*0.2</f>
        <v>5.4</v>
      </c>
      <c r="G27">
        <v>2</v>
      </c>
      <c r="H27">
        <v>3</v>
      </c>
      <c r="I27">
        <v>4</v>
      </c>
    </row>
    <row r="28" spans="2:9" x14ac:dyDescent="0.25">
      <c r="B28" s="4" t="s">
        <v>18</v>
      </c>
      <c r="C28">
        <f>C17*$C$4</f>
        <v>2.63</v>
      </c>
      <c r="D28">
        <f>D17*$C$5</f>
        <v>3.5</v>
      </c>
      <c r="E28">
        <f>E17*$C$6</f>
        <v>4.5</v>
      </c>
      <c r="G28">
        <v>1</v>
      </c>
      <c r="H28">
        <v>1</v>
      </c>
      <c r="I28">
        <v>1</v>
      </c>
    </row>
    <row r="31" spans="2:9" x14ac:dyDescent="0.25">
      <c r="B31" s="1" t="s">
        <v>19</v>
      </c>
      <c r="C31" s="1">
        <f>SUM(C21:C28)</f>
        <v>263</v>
      </c>
      <c r="D31" s="1">
        <f>SUM(D21:D28)</f>
        <v>350.00000000000006</v>
      </c>
      <c r="E31" s="1">
        <f>SUM(E21:E28)</f>
        <v>449.99999999999994</v>
      </c>
      <c r="G31" s="1">
        <f>SUM(G21:G28)</f>
        <v>264</v>
      </c>
      <c r="H31" s="1">
        <f>SUM(H21:H28)</f>
        <v>355.75</v>
      </c>
      <c r="I31" s="1">
        <f>SUM(I21:I28)</f>
        <v>448</v>
      </c>
    </row>
  </sheetData>
  <mergeCells count="1">
    <mergeCell ref="C10:E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Merlo</dc:creator>
  <cp:lastModifiedBy>Dylan Merlo</cp:lastModifiedBy>
  <dcterms:created xsi:type="dcterms:W3CDTF">2025-12-11T15:51:47Z</dcterms:created>
  <dcterms:modified xsi:type="dcterms:W3CDTF">2025-12-11T15:52:03Z</dcterms:modified>
</cp:coreProperties>
</file>